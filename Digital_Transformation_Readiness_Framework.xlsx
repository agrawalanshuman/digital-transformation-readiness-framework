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shuman Agrawal\Downloads\"/>
    </mc:Choice>
  </mc:AlternateContent>
  <xr:revisionPtr revIDLastSave="0" documentId="13_ncr:1_{98FFA323-B1A9-436B-B4BC-3F006C782012}" xr6:coauthVersionLast="47" xr6:coauthVersionMax="47" xr10:uidLastSave="{00000000-0000-0000-0000-000000000000}"/>
  <bookViews>
    <workbookView xWindow="-100" yWindow="-100" windowWidth="25189" windowHeight="16859" tabRatio="500" xr2:uid="{00000000-000D-0000-FFFF-FFFF00000000}"/>
  </bookViews>
  <sheets>
    <sheet name="Instructions" sheetId="1" r:id="rId1"/>
    <sheet name="Input" sheetId="2" r:id="rId2"/>
    <sheet name="Scoring" sheetId="3" r:id="rId3"/>
    <sheet name="Output" sheetId="4" r:id="rId4"/>
    <sheet name="Recommendation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3" l="1"/>
  <c r="C9" i="3"/>
  <c r="C9" i="5" s="1"/>
  <c r="D9" i="5" s="1"/>
  <c r="C8" i="3"/>
  <c r="C8" i="5" s="1"/>
  <c r="D8" i="5" s="1"/>
  <c r="C7" i="3"/>
  <c r="C7" i="5" s="1"/>
  <c r="D7" i="5" s="1"/>
  <c r="C6" i="3"/>
  <c r="D6" i="3" s="1"/>
  <c r="C5" i="3"/>
  <c r="C5" i="5" s="1"/>
  <c r="D5" i="5" s="1"/>
  <c r="C7" i="4" l="1"/>
  <c r="C5" i="4"/>
  <c r="D7" i="3"/>
  <c r="C6" i="4"/>
  <c r="C6" i="5"/>
  <c r="D6" i="5" s="1"/>
  <c r="D8" i="3"/>
  <c r="C8" i="4"/>
  <c r="C9" i="4"/>
  <c r="D5" i="3"/>
  <c r="D9" i="3"/>
  <c r="C11" i="3"/>
  <c r="C11" i="4" s="1"/>
  <c r="C12" i="4" s="1"/>
</calcChain>
</file>

<file path=xl/sharedStrings.xml><?xml version="1.0" encoding="utf-8"?>
<sst xmlns="http://schemas.openxmlformats.org/spreadsheetml/2006/main" count="90" uniqueCount="71">
  <si>
    <t>Digital Transformation Readiness Framework</t>
  </si>
  <si>
    <t>A consulting-style diagnostic tool to assess an organization's readiness to adopt AI and digital technologies.</t>
  </si>
  <si>
    <t>How This Framework Works</t>
  </si>
  <si>
    <t>This tool scores an organization across five dimensions of digital and AI readiness. Each dimension is scored from 1 (Not Ready) to 5 (Fully Optimized) based on a set of weighted criteria.</t>
  </si>
  <si>
    <t>Step 1: Go to the Input tab</t>
  </si>
  <si>
    <t>For each criterion, enter a score from 1 to 5 based on the organization's current state. Use the scoring guide in column E for reference.</t>
  </si>
  <si>
    <t>Step 2: Review the Scoring tab</t>
  </si>
  <si>
    <t>This tab automatically calculates weighted scores per dimension and an overall readiness score. No manual input needed here, it pulls from Input.</t>
  </si>
  <si>
    <t>Step 3: View the Output tab</t>
  </si>
  <si>
    <t>See your maturity profile visualized as a radar chart, plus an overall readiness rating.</t>
  </si>
  <si>
    <t>Step 4: Check Recommendations</t>
  </si>
  <si>
    <t>Based on your scores, this tab auto-generates suggested next steps for each dimension scoring below 3.5.</t>
  </si>
  <si>
    <t>The Five Dimensions Assessed</t>
  </si>
  <si>
    <t>1. Data Maturity — quality, accessibility, and governance of organizational data</t>
  </si>
  <si>
    <t>2. Technology Infrastructure — cloud readiness, ERP modernization, system integration</t>
  </si>
  <si>
    <t>3. Talent and Skills — AI literacy and digital skills across the workforce</t>
  </si>
  <si>
    <t>4. Process Standardization — how well-defined and documented core processes are</t>
  </si>
  <si>
    <t>5. Leadership and Strategy — executive buy-in and clarity of digital vision</t>
  </si>
  <si>
    <t>Input: Score Each Criterion (1–5)</t>
  </si>
  <si>
    <t>Dimension</t>
  </si>
  <si>
    <t>Criterion</t>
  </si>
  <si>
    <t>Score (1-5)</t>
  </si>
  <si>
    <t>Scoring Guide</t>
  </si>
  <si>
    <t>Data Maturity</t>
  </si>
  <si>
    <t>Data quality and consistency across systems</t>
  </si>
  <si>
    <t>1=Siloed/unreliable data, 5=Clean, governed, trusted data</t>
  </si>
  <si>
    <t>Data accessibility for decision-making</t>
  </si>
  <si>
    <t>1=Manual extraction only, 5=Self-service analytics available</t>
  </si>
  <si>
    <t>Data governance and ownership clarity</t>
  </si>
  <si>
    <t>1=No clear ownership, 5=Defined stewardship and policies</t>
  </si>
  <si>
    <t>Technology Infrastructure</t>
  </si>
  <si>
    <t>Cloud adoption and scalability</t>
  </si>
  <si>
    <t>1=Fully on-premise, 5=Cloud-native infrastructure</t>
  </si>
  <si>
    <t>ERP and core systems modernization</t>
  </si>
  <si>
    <t>1=Legacy/unsupported systems, 5=Modern, integrated ERP (e.g. S/4HANA)</t>
  </si>
  <si>
    <t>System integration capability</t>
  </si>
  <si>
    <t>1=Disconnected point solutions, 5=Fully integrated tech stack</t>
  </si>
  <si>
    <t>Talent and Skills</t>
  </si>
  <si>
    <t>AI and digital literacy across workforce</t>
  </si>
  <si>
    <t>1=Minimal awareness, 5=Broad fluency and active use</t>
  </si>
  <si>
    <t>Availability of technical talent</t>
  </si>
  <si>
    <t>1=No in-house capability, 5=Strong internal AI/data team</t>
  </si>
  <si>
    <t>Training and upskilling programs</t>
  </si>
  <si>
    <t>1=None exist, 5=Structured ongoing programs</t>
  </si>
  <si>
    <t>Process Standardization</t>
  </si>
  <si>
    <t>Documentation of core business processes</t>
  </si>
  <si>
    <t>1=Undocumented/tribal knowledge, 5=Fully documented SOPs</t>
  </si>
  <si>
    <t>Consistency of processes across locations/units</t>
  </si>
  <si>
    <t>1=Highly variable, 5=Standardized globally</t>
  </si>
  <si>
    <t>Process automation maturity</t>
  </si>
  <si>
    <t>1=Fully manual, 5=Significant automation in place</t>
  </si>
  <si>
    <t>Leadership and Strategy</t>
  </si>
  <si>
    <t>Executive sponsorship for digital initiatives</t>
  </si>
  <si>
    <t>1=No visible support, 5=Active, funded sponsorship</t>
  </si>
  <si>
    <t>Clarity of digital transformation strategy</t>
  </si>
  <si>
    <t>1=No defined strategy, 5=Clear roadmap with milestones</t>
  </si>
  <si>
    <t>Change management capability</t>
  </si>
  <si>
    <t>1=No formal process, 5=Mature change management function</t>
  </si>
  <si>
    <t>Dimension Scoring (Auto-Calculated)</t>
  </si>
  <si>
    <t>Average Score</t>
  </si>
  <si>
    <t>Maturity Level</t>
  </si>
  <si>
    <t>Weight</t>
  </si>
  <si>
    <t>Overall Weighted Readiness Score</t>
  </si>
  <si>
    <t>Weight Check (should equal 100%)</t>
  </si>
  <si>
    <t>Note: adjust weights in column E if some dimensions matter more for your client's industry. They must sum to 100%.</t>
  </si>
  <si>
    <t>Readiness Profile Output</t>
  </si>
  <si>
    <t>Score</t>
  </si>
  <si>
    <t>Overall Readiness Score</t>
  </si>
  <si>
    <t>Overall Maturity Rating</t>
  </si>
  <si>
    <t>Recommendations (Auto-Generated)</t>
  </si>
  <si>
    <t>Recommended Next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</si>
</sst>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charset val="1"/>
    </font>
    <font>
      <b/>
      <sz val="22"/>
      <color rgb="FF1F2937"/>
      <name val="Arial"/>
      <charset val="1"/>
    </font>
    <font>
      <i/>
      <sz val="11"/>
      <color rgb="FF4B5563"/>
      <name val="Arial"/>
      <charset val="1"/>
    </font>
    <font>
      <b/>
      <sz val="12"/>
      <color rgb="FFD97706"/>
      <name val="Arial"/>
      <charset val="1"/>
    </font>
    <font>
      <sz val="10"/>
      <color rgb="FF111827"/>
      <name val="Arial"/>
      <charset val="1"/>
    </font>
    <font>
      <b/>
      <sz val="18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F2937"/>
      <name val="Arial"/>
      <charset val="1"/>
    </font>
    <font>
      <sz val="10"/>
      <color rgb="FF0000FF"/>
      <name val="Arial"/>
      <charset val="1"/>
    </font>
    <font>
      <i/>
      <sz val="9"/>
      <color rgb="FF6B7280"/>
      <name val="Arial"/>
      <charset val="1"/>
    </font>
    <font>
      <b/>
      <sz val="11"/>
      <color rgb="FF1F2937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F3F4F6"/>
        <bgColor rgb="FFFFFFFF"/>
      </patternFill>
    </fill>
    <fill>
      <patternFill patternType="solid">
        <fgColor rgb="FFFEF3C7"/>
        <b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7" fillId="3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indent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9" fontId="8" fillId="4" borderId="1" xfId="0" applyNumberFormat="1" applyFont="1" applyFill="1" applyBorder="1" applyAlignment="1">
      <alignment horizontal="center"/>
    </xf>
    <xf numFmtId="0" fontId="10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0" fillId="3" borderId="1" xfId="0" applyFill="1" applyBorder="1"/>
    <xf numFmtId="0" fontId="9" fillId="0" borderId="0" xfId="0" applyFont="1"/>
    <xf numFmtId="9" fontId="9" fillId="0" borderId="0" xfId="0" applyNumberFormat="1" applyFont="1" applyAlignment="1">
      <alignment horizontal="center"/>
    </xf>
    <xf numFmtId="0" fontId="10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EF3C7"/>
      <rgbColor rgb="FFF3F4F6"/>
      <rgbColor rgb="FF660066"/>
      <rgbColor rgb="FFFF8080"/>
      <rgbColor rgb="FF2E5F99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97BCA"/>
      <rgbColor rgb="FF33CCCC"/>
      <rgbColor rgb="FF99CC00"/>
      <rgbColor rgb="FFFFCC00"/>
      <rgbColor rgb="FFFF9900"/>
      <rgbColor rgb="FFD97706"/>
      <rgbColor rgb="FF6B7280"/>
      <rgbColor rgb="FF969696"/>
      <rgbColor rgb="FF003366"/>
      <rgbColor rgb="FF339966"/>
      <rgbColor rgb="FF111827"/>
      <rgbColor rgb="FF333300"/>
      <rgbColor rgb="FF993300"/>
      <rgbColor rgb="FF993366"/>
      <rgbColor rgb="FF4B5563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Digital Transformation Maturity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Output!$C$4</c:f>
              <c:strCache>
                <c:ptCount val="1"/>
                <c:pt idx="0">
                  <c:v>Score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Output!$B$5:$B$9</c:f>
              <c:strCache>
                <c:ptCount val="5"/>
                <c:pt idx="0">
                  <c:v>Data Maturity</c:v>
                </c:pt>
                <c:pt idx="1">
                  <c:v>Technology Infrastructure</c:v>
                </c:pt>
                <c:pt idx="2">
                  <c:v>Talent and Skills</c:v>
                </c:pt>
                <c:pt idx="3">
                  <c:v>Process Standardization</c:v>
                </c:pt>
                <c:pt idx="4">
                  <c:v>Leadership and Strategy</c:v>
                </c:pt>
              </c:strCache>
            </c:strRef>
          </c:cat>
          <c:val>
            <c:numRef>
              <c:f>Output!$C$5:$C$9</c:f>
              <c:numCache>
                <c:formatCode>0.0</c:formatCode>
                <c:ptCount val="5"/>
                <c:pt idx="0">
                  <c:v>2.6666666666666665</c:v>
                </c:pt>
                <c:pt idx="1">
                  <c:v>3.6666666666666665</c:v>
                </c:pt>
                <c:pt idx="2">
                  <c:v>2</c:v>
                </c:pt>
                <c:pt idx="3">
                  <c:v>3</c:v>
                </c:pt>
                <c:pt idx="4">
                  <c:v>3.3333333333333335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6-41F5-B6DA-E98A85620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09935"/>
        <c:axId val="46632880"/>
      </c:radarChart>
      <c:catAx>
        <c:axId val="402099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632880"/>
        <c:crosses val="autoZero"/>
        <c:auto val="1"/>
        <c:lblAlgn val="ctr"/>
        <c:lblOffset val="100"/>
        <c:noMultiLvlLbl val="0"/>
      </c:catAx>
      <c:valAx>
        <c:axId val="466328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20993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171360</xdr:colOff>
      <xdr:row>14</xdr:row>
      <xdr:rowOff>57240</xdr:rowOff>
    </xdr:from>
    <xdr:to>
      <xdr:col>12</xdr:col>
      <xdr:colOff>132120</xdr:colOff>
      <xdr:row>33</xdr:row>
      <xdr:rowOff>68760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6"/>
  <sheetViews>
    <sheetView showGridLines="0" tabSelected="1" zoomScaleNormal="100" workbookViewId="0">
      <selection activeCell="B29" sqref="B29"/>
    </sheetView>
  </sheetViews>
  <sheetFormatPr defaultColWidth="8.59765625" defaultRowHeight="14.4" x14ac:dyDescent="0.3"/>
  <cols>
    <col min="1" max="1" width="4" customWidth="1"/>
    <col min="2" max="2" width="95" customWidth="1"/>
  </cols>
  <sheetData>
    <row r="2" spans="2:2" ht="49.6" customHeight="1" x14ac:dyDescent="0.5">
      <c r="B2" s="3" t="s">
        <v>0</v>
      </c>
    </row>
    <row r="4" spans="2:2" x14ac:dyDescent="0.3">
      <c r="B4" s="4" t="s">
        <v>1</v>
      </c>
    </row>
    <row r="6" spans="2:2" ht="27.7" customHeight="1" x14ac:dyDescent="0.3">
      <c r="B6" s="5" t="s">
        <v>2</v>
      </c>
    </row>
    <row r="7" spans="2:2" ht="27.7" customHeight="1" x14ac:dyDescent="0.3">
      <c r="B7" s="6" t="s">
        <v>3</v>
      </c>
    </row>
    <row r="8" spans="2:2" ht="7.5" customHeight="1" x14ac:dyDescent="0.3">
      <c r="B8" s="6"/>
    </row>
    <row r="9" spans="2:2" ht="27.7" customHeight="1" x14ac:dyDescent="0.3">
      <c r="B9" s="5" t="s">
        <v>4</v>
      </c>
    </row>
    <row r="10" spans="2:2" ht="27.7" customHeight="1" x14ac:dyDescent="0.3">
      <c r="B10" s="6" t="s">
        <v>5</v>
      </c>
    </row>
    <row r="11" spans="2:2" ht="7.5" customHeight="1" x14ac:dyDescent="0.3">
      <c r="B11" s="6"/>
    </row>
    <row r="12" spans="2:2" ht="27.7" customHeight="1" x14ac:dyDescent="0.3">
      <c r="B12" s="5" t="s">
        <v>6</v>
      </c>
    </row>
    <row r="13" spans="2:2" ht="27.7" customHeight="1" x14ac:dyDescent="0.3">
      <c r="B13" s="6" t="s">
        <v>7</v>
      </c>
    </row>
    <row r="14" spans="2:2" ht="7.5" customHeight="1" x14ac:dyDescent="0.3">
      <c r="B14" s="6"/>
    </row>
    <row r="15" spans="2:2" ht="27.7" customHeight="1" x14ac:dyDescent="0.3">
      <c r="B15" s="5" t="s">
        <v>8</v>
      </c>
    </row>
    <row r="16" spans="2:2" ht="27.7" customHeight="1" x14ac:dyDescent="0.3">
      <c r="B16" s="6" t="s">
        <v>9</v>
      </c>
    </row>
    <row r="17" spans="2:2" ht="7.5" customHeight="1" x14ac:dyDescent="0.3">
      <c r="B17" s="6"/>
    </row>
    <row r="18" spans="2:2" ht="27.7" customHeight="1" x14ac:dyDescent="0.3">
      <c r="B18" s="5" t="s">
        <v>10</v>
      </c>
    </row>
    <row r="19" spans="2:2" ht="27.7" customHeight="1" x14ac:dyDescent="0.3">
      <c r="B19" s="6" t="s">
        <v>11</v>
      </c>
    </row>
    <row r="20" spans="2:2" ht="7.5" customHeight="1" x14ac:dyDescent="0.3">
      <c r="B20" s="6"/>
    </row>
    <row r="21" spans="2:2" ht="27.7" customHeight="1" x14ac:dyDescent="0.3">
      <c r="B21" s="5" t="s">
        <v>12</v>
      </c>
    </row>
    <row r="22" spans="2:2" ht="27.7" customHeight="1" x14ac:dyDescent="0.3">
      <c r="B22" s="6" t="s">
        <v>13</v>
      </c>
    </row>
    <row r="23" spans="2:2" ht="27.7" customHeight="1" x14ac:dyDescent="0.3">
      <c r="B23" s="6" t="s">
        <v>14</v>
      </c>
    </row>
    <row r="24" spans="2:2" ht="27.7" customHeight="1" x14ac:dyDescent="0.3">
      <c r="B24" s="6" t="s">
        <v>15</v>
      </c>
    </row>
    <row r="25" spans="2:2" ht="27.7" customHeight="1" x14ac:dyDescent="0.3">
      <c r="B25" s="6" t="s">
        <v>16</v>
      </c>
    </row>
    <row r="26" spans="2:2" ht="27.7" customHeight="1" x14ac:dyDescent="0.3">
      <c r="B26" s="6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9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11" sqref="F11"/>
    </sheetView>
  </sheetViews>
  <sheetFormatPr defaultColWidth="8.59765625" defaultRowHeight="14.4" x14ac:dyDescent="0.3"/>
  <cols>
    <col min="1" max="1" width="3" customWidth="1"/>
    <col min="2" max="2" width="28" customWidth="1"/>
    <col min="3" max="3" width="45" customWidth="1"/>
    <col min="4" max="4" width="12" customWidth="1"/>
    <col min="5" max="5" width="50" customWidth="1"/>
  </cols>
  <sheetData>
    <row r="2" spans="2:5" ht="31.6" customHeight="1" x14ac:dyDescent="0.3">
      <c r="B2" s="2" t="s">
        <v>18</v>
      </c>
      <c r="C2" s="2"/>
      <c r="D2" s="2"/>
      <c r="E2" s="2"/>
    </row>
    <row r="4" spans="2:5" ht="25.5" customHeight="1" x14ac:dyDescent="0.3">
      <c r="B4" s="7" t="s">
        <v>19</v>
      </c>
      <c r="C4" s="7" t="s">
        <v>20</v>
      </c>
      <c r="D4" s="7" t="s">
        <v>21</v>
      </c>
      <c r="E4" s="7" t="s">
        <v>22</v>
      </c>
    </row>
    <row r="5" spans="2:5" ht="30.05" customHeight="1" x14ac:dyDescent="0.3">
      <c r="B5" s="1" t="s">
        <v>23</v>
      </c>
      <c r="C5" s="8" t="s">
        <v>24</v>
      </c>
      <c r="D5" s="9">
        <v>3</v>
      </c>
      <c r="E5" s="10" t="s">
        <v>25</v>
      </c>
    </row>
    <row r="6" spans="2:5" ht="30.05" customHeight="1" x14ac:dyDescent="0.3">
      <c r="B6" s="1"/>
      <c r="C6" s="8" t="s">
        <v>26</v>
      </c>
      <c r="D6" s="9">
        <v>2</v>
      </c>
      <c r="E6" s="10" t="s">
        <v>27</v>
      </c>
    </row>
    <row r="7" spans="2:5" ht="30.05" customHeight="1" x14ac:dyDescent="0.3">
      <c r="B7" s="1"/>
      <c r="C7" s="8" t="s">
        <v>28</v>
      </c>
      <c r="D7" s="9">
        <v>3</v>
      </c>
      <c r="E7" s="10" t="s">
        <v>29</v>
      </c>
    </row>
    <row r="8" spans="2:5" ht="30.05" customHeight="1" x14ac:dyDescent="0.3">
      <c r="B8" s="1" t="s">
        <v>30</v>
      </c>
      <c r="C8" s="8" t="s">
        <v>31</v>
      </c>
      <c r="D8" s="9">
        <v>4</v>
      </c>
      <c r="E8" s="10" t="s">
        <v>32</v>
      </c>
    </row>
    <row r="9" spans="2:5" ht="30.05" customHeight="1" x14ac:dyDescent="0.3">
      <c r="B9" s="1"/>
      <c r="C9" s="8" t="s">
        <v>33</v>
      </c>
      <c r="D9" s="9">
        <v>4</v>
      </c>
      <c r="E9" s="10" t="s">
        <v>34</v>
      </c>
    </row>
    <row r="10" spans="2:5" ht="30.05" customHeight="1" x14ac:dyDescent="0.3">
      <c r="B10" s="1"/>
      <c r="C10" s="8" t="s">
        <v>35</v>
      </c>
      <c r="D10" s="9">
        <v>3</v>
      </c>
      <c r="E10" s="10" t="s">
        <v>36</v>
      </c>
    </row>
    <row r="11" spans="2:5" ht="30.05" customHeight="1" x14ac:dyDescent="0.3">
      <c r="B11" s="1" t="s">
        <v>37</v>
      </c>
      <c r="C11" s="8" t="s">
        <v>38</v>
      </c>
      <c r="D11" s="9">
        <v>2</v>
      </c>
      <c r="E11" s="10" t="s">
        <v>39</v>
      </c>
    </row>
    <row r="12" spans="2:5" ht="30.05" customHeight="1" x14ac:dyDescent="0.3">
      <c r="B12" s="1"/>
      <c r="C12" s="8" t="s">
        <v>40</v>
      </c>
      <c r="D12" s="9">
        <v>2</v>
      </c>
      <c r="E12" s="10" t="s">
        <v>41</v>
      </c>
    </row>
    <row r="13" spans="2:5" ht="30.05" customHeight="1" x14ac:dyDescent="0.3">
      <c r="B13" s="1"/>
      <c r="C13" s="8" t="s">
        <v>42</v>
      </c>
      <c r="D13" s="9">
        <v>2</v>
      </c>
      <c r="E13" s="10" t="s">
        <v>43</v>
      </c>
    </row>
    <row r="14" spans="2:5" ht="30.05" customHeight="1" x14ac:dyDescent="0.3">
      <c r="B14" s="1" t="s">
        <v>44</v>
      </c>
      <c r="C14" s="8" t="s">
        <v>45</v>
      </c>
      <c r="D14" s="9">
        <v>3</v>
      </c>
      <c r="E14" s="10" t="s">
        <v>46</v>
      </c>
    </row>
    <row r="15" spans="2:5" ht="30.05" customHeight="1" x14ac:dyDescent="0.3">
      <c r="B15" s="1"/>
      <c r="C15" s="8" t="s">
        <v>47</v>
      </c>
      <c r="D15" s="9">
        <v>3</v>
      </c>
      <c r="E15" s="10" t="s">
        <v>48</v>
      </c>
    </row>
    <row r="16" spans="2:5" ht="30.05" customHeight="1" x14ac:dyDescent="0.3">
      <c r="B16" s="1"/>
      <c r="C16" s="8" t="s">
        <v>49</v>
      </c>
      <c r="D16" s="9">
        <v>3</v>
      </c>
      <c r="E16" s="10" t="s">
        <v>50</v>
      </c>
    </row>
    <row r="17" spans="2:5" ht="30.05" customHeight="1" x14ac:dyDescent="0.3">
      <c r="B17" s="1" t="s">
        <v>51</v>
      </c>
      <c r="C17" s="8" t="s">
        <v>52</v>
      </c>
      <c r="D17" s="9">
        <v>4</v>
      </c>
      <c r="E17" s="10" t="s">
        <v>53</v>
      </c>
    </row>
    <row r="18" spans="2:5" ht="30.05" customHeight="1" x14ac:dyDescent="0.3">
      <c r="B18" s="1"/>
      <c r="C18" s="8" t="s">
        <v>54</v>
      </c>
      <c r="D18" s="9">
        <v>3</v>
      </c>
      <c r="E18" s="10" t="s">
        <v>55</v>
      </c>
    </row>
    <row r="19" spans="2:5" ht="30.05" customHeight="1" x14ac:dyDescent="0.3">
      <c r="B19" s="1"/>
      <c r="C19" s="8" t="s">
        <v>56</v>
      </c>
      <c r="D19" s="9">
        <v>3</v>
      </c>
      <c r="E19" s="10" t="s">
        <v>57</v>
      </c>
    </row>
  </sheetData>
  <mergeCells count="6">
    <mergeCell ref="B17:B19"/>
    <mergeCell ref="B2:E2"/>
    <mergeCell ref="B5:B7"/>
    <mergeCell ref="B8:B10"/>
    <mergeCell ref="B11:B13"/>
    <mergeCell ref="B14:B16"/>
  </mergeCells>
  <dataValidations count="1">
    <dataValidation type="whole" showErrorMessage="1" errorTitle="Invalid Score" error="Enter a whole number from 1 to 5" sqref="D5:D19" xr:uid="{00000000-0002-0000-0100-000000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4"/>
  <sheetViews>
    <sheetView showGridLines="0" zoomScaleNormal="100" workbookViewId="0">
      <selection activeCell="D21" sqref="D21"/>
    </sheetView>
  </sheetViews>
  <sheetFormatPr defaultColWidth="8.59765625" defaultRowHeight="14.4" x14ac:dyDescent="0.3"/>
  <cols>
    <col min="1" max="1" width="3" customWidth="1"/>
    <col min="2" max="2" width="39.3984375" customWidth="1"/>
    <col min="3" max="5" width="18" customWidth="1"/>
  </cols>
  <sheetData>
    <row r="2" spans="2:5" ht="31.6" customHeight="1" x14ac:dyDescent="0.3">
      <c r="B2" s="2" t="s">
        <v>58</v>
      </c>
      <c r="C2" s="2"/>
      <c r="D2" s="2"/>
      <c r="E2" s="2"/>
    </row>
    <row r="4" spans="2:5" ht="21.75" customHeight="1" x14ac:dyDescent="0.3">
      <c r="B4" s="7" t="s">
        <v>19</v>
      </c>
      <c r="C4" s="7" t="s">
        <v>59</v>
      </c>
      <c r="D4" s="7" t="s">
        <v>60</v>
      </c>
      <c r="E4" s="7" t="s">
        <v>61</v>
      </c>
    </row>
    <row r="5" spans="2:5" x14ac:dyDescent="0.3">
      <c r="B5" s="11" t="s">
        <v>23</v>
      </c>
      <c r="C5" s="12">
        <f>AVERAGE(Input!D5:D7)</f>
        <v>2.6666666666666665</v>
      </c>
      <c r="D5" s="13" t="str">
        <f>IF(C5&gt;=4.5,"Optimized",IF(C5&gt;=3.5,"Advanced",IF(C5&gt;=2.5,"Developing",IF(C5&gt;=1.5,"Emerging","Not Ready"))))</f>
        <v>Developing</v>
      </c>
      <c r="E5" s="14">
        <v>0.2</v>
      </c>
    </row>
    <row r="6" spans="2:5" x14ac:dyDescent="0.3">
      <c r="B6" s="11" t="s">
        <v>30</v>
      </c>
      <c r="C6" s="12">
        <f>AVERAGE(Input!D8:D10)</f>
        <v>3.6666666666666665</v>
      </c>
      <c r="D6" s="13" t="str">
        <f>IF(C6&gt;=4.5,"Optimized",IF(C6&gt;=3.5,"Advanced",IF(C6&gt;=2.5,"Developing",IF(C6&gt;=1.5,"Emerging","Not Ready"))))</f>
        <v>Advanced</v>
      </c>
      <c r="E6" s="14">
        <v>0.2</v>
      </c>
    </row>
    <row r="7" spans="2:5" x14ac:dyDescent="0.3">
      <c r="B7" s="11" t="s">
        <v>37</v>
      </c>
      <c r="C7" s="12">
        <f>AVERAGE(Input!D11:D13)</f>
        <v>2</v>
      </c>
      <c r="D7" s="13" t="str">
        <f>IF(C7&gt;=4.5,"Optimized",IF(C7&gt;=3.5,"Advanced",IF(C7&gt;=2.5,"Developing",IF(C7&gt;=1.5,"Emerging","Not Ready"))))</f>
        <v>Emerging</v>
      </c>
      <c r="E7" s="14">
        <v>0.2</v>
      </c>
    </row>
    <row r="8" spans="2:5" x14ac:dyDescent="0.3">
      <c r="B8" s="11" t="s">
        <v>44</v>
      </c>
      <c r="C8" s="12">
        <f>AVERAGE(Input!D14:D16)</f>
        <v>3</v>
      </c>
      <c r="D8" s="13" t="str">
        <f>IF(C8&gt;=4.5,"Optimized",IF(C8&gt;=3.5,"Advanced",IF(C8&gt;=2.5,"Developing",IF(C8&gt;=1.5,"Emerging","Not Ready"))))</f>
        <v>Developing</v>
      </c>
      <c r="E8" s="14">
        <v>0.2</v>
      </c>
    </row>
    <row r="9" spans="2:5" x14ac:dyDescent="0.3">
      <c r="B9" s="11" t="s">
        <v>51</v>
      </c>
      <c r="C9" s="12">
        <f>AVERAGE(Input!D17:D19)</f>
        <v>3.3333333333333335</v>
      </c>
      <c r="D9" s="13" t="str">
        <f>IF(C9&gt;=4.5,"Optimized",IF(C9&gt;=3.5,"Advanced",IF(C9&gt;=2.5,"Developing",IF(C9&gt;=1.5,"Emerging","Not Ready"))))</f>
        <v>Developing</v>
      </c>
      <c r="E9" s="14">
        <v>0.2</v>
      </c>
    </row>
    <row r="11" spans="2:5" ht="14.95" customHeight="1" x14ac:dyDescent="0.3">
      <c r="B11" s="15" t="s">
        <v>62</v>
      </c>
      <c r="C11" s="16">
        <f>SUMPRODUCT(C5:C9,E5:E9)</f>
        <v>2.9333333333333336</v>
      </c>
      <c r="D11" s="17"/>
      <c r="E11" s="17"/>
    </row>
    <row r="12" spans="2:5" x14ac:dyDescent="0.3">
      <c r="B12" s="18" t="s">
        <v>63</v>
      </c>
      <c r="C12" s="19">
        <f>SUM(E5:E9)</f>
        <v>1</v>
      </c>
    </row>
    <row r="14" spans="2:5" x14ac:dyDescent="0.3">
      <c r="B14" s="18" t="s">
        <v>64</v>
      </c>
    </row>
  </sheetData>
  <mergeCells count="1">
    <mergeCell ref="B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12"/>
  <sheetViews>
    <sheetView showGridLines="0" zoomScaleNormal="100" workbookViewId="0">
      <selection activeCell="K7" sqref="K7"/>
    </sheetView>
  </sheetViews>
  <sheetFormatPr defaultColWidth="8.59765625" defaultRowHeight="14.4" x14ac:dyDescent="0.3"/>
  <cols>
    <col min="1" max="1" width="3" customWidth="1"/>
    <col min="2" max="2" width="28" customWidth="1"/>
    <col min="3" max="3" width="16" customWidth="1"/>
    <col min="4" max="10" width="4" customWidth="1"/>
  </cols>
  <sheetData>
    <row r="2" spans="2:9" ht="31.6" customHeight="1" x14ac:dyDescent="0.3">
      <c r="B2" s="2" t="s">
        <v>65</v>
      </c>
      <c r="C2" s="2"/>
      <c r="D2" s="2"/>
      <c r="E2" s="2"/>
      <c r="F2" s="2"/>
      <c r="G2" s="2"/>
      <c r="H2" s="2"/>
      <c r="I2" s="2"/>
    </row>
    <row r="4" spans="2:9" x14ac:dyDescent="0.3">
      <c r="B4" s="7" t="s">
        <v>19</v>
      </c>
      <c r="C4" s="7" t="s">
        <v>66</v>
      </c>
    </row>
    <row r="5" spans="2:9" x14ac:dyDescent="0.3">
      <c r="B5" s="11" t="s">
        <v>23</v>
      </c>
      <c r="C5" s="12">
        <f>Scoring!C5</f>
        <v>2.6666666666666665</v>
      </c>
    </row>
    <row r="6" spans="2:9" x14ac:dyDescent="0.3">
      <c r="B6" s="11" t="s">
        <v>30</v>
      </c>
      <c r="C6" s="12">
        <f>Scoring!C6</f>
        <v>3.6666666666666665</v>
      </c>
    </row>
    <row r="7" spans="2:9" x14ac:dyDescent="0.3">
      <c r="B7" s="11" t="s">
        <v>37</v>
      </c>
      <c r="C7" s="12">
        <f>Scoring!C7</f>
        <v>2</v>
      </c>
    </row>
    <row r="8" spans="2:9" x14ac:dyDescent="0.3">
      <c r="B8" s="11" t="s">
        <v>44</v>
      </c>
      <c r="C8" s="12">
        <f>Scoring!C8</f>
        <v>3</v>
      </c>
    </row>
    <row r="9" spans="2:9" x14ac:dyDescent="0.3">
      <c r="B9" s="11" t="s">
        <v>51</v>
      </c>
      <c r="C9" s="12">
        <f>Scoring!C9</f>
        <v>3.3333333333333335</v>
      </c>
    </row>
    <row r="11" spans="2:9" ht="14.95" customHeight="1" x14ac:dyDescent="0.3">
      <c r="B11" s="20" t="s">
        <v>67</v>
      </c>
      <c r="C11" s="21">
        <f>Scoring!C11</f>
        <v>2.9333333333333336</v>
      </c>
    </row>
    <row r="12" spans="2:9" ht="14.95" customHeight="1" x14ac:dyDescent="0.3">
      <c r="B12" s="20" t="s">
        <v>68</v>
      </c>
      <c r="C12" s="22" t="str">
        <f>IF(C11&gt;=4.5,"Optimized",IF(C11&gt;=3.5,"Advanced",IF(C11&gt;=2.5,"Developing",IF(C11&gt;=1.5,"Emerging","Not Ready"))))</f>
        <v>Developing</v>
      </c>
    </row>
  </sheetData>
  <mergeCells count="1">
    <mergeCell ref="B2:I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9"/>
  <sheetViews>
    <sheetView showGridLines="0" zoomScaleNormal="100" workbookViewId="0">
      <selection activeCell="D11" sqref="D11"/>
    </sheetView>
  </sheetViews>
  <sheetFormatPr defaultColWidth="8.59765625" defaultRowHeight="14.4" x14ac:dyDescent="0.3"/>
  <cols>
    <col min="1" max="1" width="3" customWidth="1"/>
    <col min="2" max="2" width="24" customWidth="1"/>
    <col min="3" max="3" width="12" customWidth="1"/>
    <col min="4" max="4" width="60" customWidth="1"/>
  </cols>
  <sheetData>
    <row r="2" spans="2:4" ht="31.6" customHeight="1" x14ac:dyDescent="0.3">
      <c r="B2" s="2" t="s">
        <v>69</v>
      </c>
      <c r="C2" s="2"/>
      <c r="D2" s="2"/>
    </row>
    <row r="4" spans="2:4" ht="21.75" customHeight="1" x14ac:dyDescent="0.3">
      <c r="B4" s="7" t="s">
        <v>19</v>
      </c>
      <c r="C4" s="7" t="s">
        <v>66</v>
      </c>
      <c r="D4" s="7" t="s">
        <v>70</v>
      </c>
    </row>
    <row r="5" spans="2:4" ht="45" customHeight="1" x14ac:dyDescent="0.3">
      <c r="B5" s="8" t="s">
        <v>23</v>
      </c>
      <c r="C5" s="23">
        <f>Scoring!C5</f>
        <v>2.6666666666666665</v>
      </c>
      <c r="D5" s="24" t="str">
        <f>IF(C5&lt;3.5,"Establish a data governance framework, assign data stewards, and prioritize cleansing of core master data before scaling AI initiatives.","Strong performance. Maintain current practices and monitor for continuous improvement.")</f>
        <v>Establish a data governance framework, assign data stewards, and prioritize cleansing of core master data before scaling AI initiatives.</v>
      </c>
    </row>
    <row r="6" spans="2:4" ht="45" customHeight="1" x14ac:dyDescent="0.3">
      <c r="B6" s="8" t="s">
        <v>30</v>
      </c>
      <c r="C6" s="23">
        <f>Scoring!C6</f>
        <v>3.6666666666666665</v>
      </c>
      <c r="D6" s="24" t="str">
        <f>IF(C6&lt;3.5,"Develop a phased cloud migration roadmap and evaluate ERP modernization (e.g. S/4HANA) to enable system integration.","Strong performance. Maintain current practices and monitor for continuous improvement.")</f>
        <v>Strong performance. Maintain current practices and monitor for continuous improvement.</v>
      </c>
    </row>
    <row r="7" spans="2:4" ht="45" customHeight="1" x14ac:dyDescent="0.3">
      <c r="B7" s="8" t="s">
        <v>37</v>
      </c>
      <c r="C7" s="23">
        <f>Scoring!C7</f>
        <v>2</v>
      </c>
      <c r="D7" s="24" t="str">
        <f>IF(C7&lt;3.5,"Launch a structured AI literacy program and identify internal champions to lead pilot projects.","Strong performance. Maintain current practices and monitor for continuous improvement.")</f>
        <v>Launch a structured AI literacy program and identify internal champions to lead pilot projects.</v>
      </c>
    </row>
    <row r="8" spans="2:4" ht="45" customHeight="1" x14ac:dyDescent="0.3">
      <c r="B8" s="8" t="s">
        <v>44</v>
      </c>
      <c r="C8" s="23">
        <f>Scoring!C8</f>
        <v>3</v>
      </c>
      <c r="D8" s="24" t="str">
        <f>IF(C8&lt;3.5,"Document core processes via process mining or workshops, and standardize across business units before automating.","Strong performance. Maintain current practices and monitor for continuous improvement.")</f>
        <v>Document core processes via process mining or workshops, and standardize across business units before automating.</v>
      </c>
    </row>
    <row r="9" spans="2:4" ht="45" customHeight="1" x14ac:dyDescent="0.3">
      <c r="B9" s="8" t="s">
        <v>51</v>
      </c>
      <c r="C9" s="23">
        <f>Scoring!C9</f>
        <v>3.3333333333333335</v>
      </c>
      <c r="D9" s="24" t="str">
        <f>IF(C9&lt;3.5,"Secure an executive sponsor, define a 12 to 18 month digital roadmap, and tie initiatives to measurable business outcomes.","Strong performance. Maintain current practices and monitor for continuous improvement.")</f>
        <v>Secure an executive sponsor, define a 12 to 18 month digital roadmap, and tie initiatives to measurable business outcomes.</v>
      </c>
    </row>
  </sheetData>
  <mergeCells count="1">
    <mergeCell ref="B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Input</vt:lpstr>
      <vt:lpstr>Scoring</vt:lpstr>
      <vt:lpstr>Output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aagrawal@su.suffolk.edu</dc:creator>
  <dc:description/>
  <cp:lastModifiedBy>Anshuman Agrawal</cp:lastModifiedBy>
  <cp:revision>2</cp:revision>
  <dcterms:created xsi:type="dcterms:W3CDTF">2026-06-30T06:41:12Z</dcterms:created>
  <dcterms:modified xsi:type="dcterms:W3CDTF">2026-09-16T18:41:15Z</dcterms:modified>
  <dc:language>en-US</dc:language>
</cp:coreProperties>
</file>